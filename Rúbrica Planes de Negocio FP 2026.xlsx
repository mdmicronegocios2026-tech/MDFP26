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niminuto0-my.sharepoint.com/personal/rafael_sanchez_uniminuto_edu/Documents/Gestión de Proyectos/Año 2026/Ejecución/P1. Formación y Estructuración Planes de Negocio - Fondo Progresa 2026/Etapa de Evaluación/Planes de Negocio/"/>
    </mc:Choice>
  </mc:AlternateContent>
  <xr:revisionPtr revIDLastSave="0" documentId="8_{706540D4-B9E2-473D-9921-87D1434954EA}" xr6:coauthVersionLast="47" xr6:coauthVersionMax="47" xr10:uidLastSave="{00000000-0000-0000-0000-000000000000}"/>
  <bookViews>
    <workbookView xWindow="-110" yWindow="-110" windowWidth="19420" windowHeight="10420" firstSheet="1" activeTab="1" xr2:uid="{6ACB79B8-8C49-441C-8BFC-ADF1E52DEBCF}"/>
  </bookViews>
  <sheets>
    <sheet name="DISTRIBUCIÓN HORAS (OPCIÓN 1)" sheetId="12" state="hidden" r:id="rId1"/>
    <sheet name="RÚBRICA DEL PLAN DE NEGOCIOS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0" l="1"/>
  <c r="B36" i="12"/>
  <c r="N14" i="12" l="1"/>
  <c r="B34" i="12"/>
  <c r="B33" i="12"/>
  <c r="B32" i="12"/>
  <c r="N12" i="12"/>
  <c r="N10" i="12"/>
  <c r="U7" i="12"/>
  <c r="U6" i="12"/>
  <c r="B21" i="12"/>
  <c r="B22" i="12" s="1"/>
  <c r="A11" i="12"/>
  <c r="S8" i="12"/>
  <c r="B28" i="12"/>
  <c r="B27" i="12"/>
  <c r="S6" i="12"/>
  <c r="T6" i="12" s="1"/>
  <c r="B29" i="12" l="1"/>
  <c r="B30" i="12" s="1"/>
  <c r="N13" i="12"/>
</calcChain>
</file>

<file path=xl/sharedStrings.xml><?xml version="1.0" encoding="utf-8"?>
<sst xmlns="http://schemas.openxmlformats.org/spreadsheetml/2006/main" count="98" uniqueCount="96">
  <si>
    <t>Curso: 60 Horas</t>
  </si>
  <si>
    <t xml:space="preserve"> (20 Presenciales y 40 Autónomas)</t>
  </si>
  <si>
    <t xml:space="preserve">Acompañamiento Personalizado: </t>
  </si>
  <si>
    <t>200 Horas (2 horas / emprendedor)</t>
  </si>
  <si>
    <t>Total Intensidad Proyecto</t>
  </si>
  <si>
    <t xml:space="preserve">260 Horas </t>
  </si>
  <si>
    <t xml:space="preserve">Horas Globales Proceso (Como una Gran Bolsa) </t>
  </si>
  <si>
    <t xml:space="preserve">Proyectos / Formador </t>
  </si>
  <si>
    <t xml:space="preserve">Proyectos a Evaluar / Formador </t>
  </si>
  <si>
    <t xml:space="preserve">20 Horas Curso (Ya están cubiertas) </t>
  </si>
  <si>
    <t>8 Horas Preparación (Ya Están cubiertas)</t>
  </si>
  <si>
    <t xml:space="preserve">Distribución Horas Acompañamiento </t>
  </si>
  <si>
    <t xml:space="preserve">Horas para Evaluación de Documentos </t>
  </si>
  <si>
    <t xml:space="preserve">60 Acompañamiento Focalizado (Salen de las 200 de Acompañamiento Personalizado) </t>
  </si>
  <si>
    <t xml:space="preserve">Acompañamiento </t>
  </si>
  <si>
    <t>Evaluación Total Documentos</t>
  </si>
  <si>
    <t>56 Evaluación Documento Plan de Negocios (Salen de las 200 de Acompañamiento Personalizado)</t>
  </si>
  <si>
    <t>Evaluación Plan de Negocios</t>
  </si>
  <si>
    <t xml:space="preserve">99 Horas de Acompañamiento Personalizado (Después de restar las de arriba) </t>
  </si>
  <si>
    <t>Evaluación PITCH</t>
  </si>
  <si>
    <t>(Si sumamos 40 de autónomo e incluimos 8 de preparación nos da 268)</t>
  </si>
  <si>
    <t xml:space="preserve">Acompañamiento Focalizado Curso </t>
  </si>
  <si>
    <t xml:space="preserve">Horas Disponibles para Acompañamiento </t>
  </si>
  <si>
    <t>Horas de Acompañamiento Personalizado / Formador</t>
  </si>
  <si>
    <t xml:space="preserve">Distribución Horas Formador </t>
  </si>
  <si>
    <t xml:space="preserve">Formacion </t>
  </si>
  <si>
    <t>Preparación</t>
  </si>
  <si>
    <t>Acompañamiento Focalizado</t>
  </si>
  <si>
    <t>(Estas 15 salen de las 200 de Acompañamiento Personalizado)</t>
  </si>
  <si>
    <t>Acompañamiento Personalizado - Virtual</t>
  </si>
  <si>
    <t>(Estas 25 salen de las 200 de Acompañamiento Personalizado)</t>
  </si>
  <si>
    <t xml:space="preserve">Evaluación PITCH </t>
  </si>
  <si>
    <t>(Estas 12 salen de las 200 de Acompañamiento Personalizado)</t>
  </si>
  <si>
    <t>Evalucion Documento Plan de negocios</t>
  </si>
  <si>
    <t>(Estas 14 salen de las 200 de Acompañamiento Personalizado)</t>
  </si>
  <si>
    <t xml:space="preserve">Análisis de Horas de Evaluación / Formador </t>
  </si>
  <si>
    <t>Pitch de 3 minutos por emprendedor</t>
  </si>
  <si>
    <t xml:space="preserve">Minutos </t>
  </si>
  <si>
    <t xml:space="preserve">Evaluación del Pitch: 7 minutos </t>
  </si>
  <si>
    <t>Total en Horas Evaluación PITCH</t>
  </si>
  <si>
    <t>Horas (Evaluación)</t>
  </si>
  <si>
    <t>Cada Formador (Evalúa 71 Proyectos)</t>
  </si>
  <si>
    <t>Criterio</t>
  </si>
  <si>
    <t>Ponderación</t>
  </si>
  <si>
    <t>Nivel Excelente (5)</t>
  </si>
  <si>
    <t>Nivel Bueno (4)</t>
  </si>
  <si>
    <t>Nivel Regular (3)</t>
  </si>
  <si>
    <t>Nivel Insuficiente (2)</t>
  </si>
  <si>
    <t>Nivel (1)</t>
  </si>
  <si>
    <t>Nivel (0)</t>
  </si>
  <si>
    <t>4 a 4,9</t>
  </si>
  <si>
    <t>3 a 3,9</t>
  </si>
  <si>
    <t>2 a 2,9</t>
  </si>
  <si>
    <t>1 a 1,9</t>
  </si>
  <si>
    <t>Resumen Ejecutivo</t>
  </si>
  <si>
    <t xml:space="preserve">Presenta un resumen ejecutivo ampliamente claro, descripción del proyecto concisa y coherente, reconoce su propósito y singularidad. Objetivos de corto, mediano y largo plazo claros y específicos. Explica de manera clara el problema o necesidad que se aborda y cómo el proyecto proporciona una solución alineada. Incluye el lienzo Canvas, el cual es coherente con su iniciativa. </t>
  </si>
  <si>
    <t>Presenta un resumen claro y coherente, con objetivos definidos y explicación del problema, aunque con ligeros detalles faltantes.</t>
  </si>
  <si>
    <t>Resumen general, con descripción y objetivos parcialmente claros; la explicación del problema o solución es superficial.</t>
  </si>
  <si>
    <t>Resumen incompleto, con descripción poco coherente y objetivos vagos; la explicación del problema es confusa.</t>
  </si>
  <si>
    <t>Presenta información mínima, sin claridad en objetivos ni en el problema que aborda.</t>
  </si>
  <si>
    <t>No presenta resumen ejecutivo.</t>
  </si>
  <si>
    <t>Estudio de mercado</t>
  </si>
  <si>
    <t>Segmentación precisa y bien justificada, describe claramente mercado objetivo y cuantifica su tamaño. Define perfil de cliente ideal, analiza tres competidores directos e indirectos, estrategias de mercadeo bien alineadas, imagen corporativa completa (logo, slogan, etc.) y presenta claramente las acciones de validación de mercado.</t>
  </si>
  <si>
    <t>Segmentación bien sustentada con mercado objetivo claro y perfil de cliente definido; analiza competidores y estrategias con pequeños vacíos; imagen corporativa y validación casi completas.</t>
  </si>
  <si>
    <t>Segmentación aceptable, con descripción general del mercado y perfil del cliente; analiza menos competidores o estrategias superficiales; imagen corporativa parcial y validación poco clara.</t>
  </si>
  <si>
    <t>Segmentación limitada, mercado objetivo vago; sin análisis suficiente de competidores o estrategias; imagen corporativa básica; validación mínima.</t>
  </si>
  <si>
    <t>Presenta solo algunos datos aislados del mercado y cliente, sin análisis de competidores ni estrategias; imagen corporativa incompleta; sin validación.</t>
  </si>
  <si>
    <t>No presenta segmentación de mercado.</t>
  </si>
  <si>
    <t xml:space="preserve">Estudio Técnico </t>
  </si>
  <si>
    <t>Estudio técnico completo y argumentado: ficha técnica precisa y bien estructurada, cálculos claros de capacidad de producción, localización justificada, proceso detallado en diagrama de flujo, recursos humanos, materiales y tecnológicos descritos, estructura administrativa definida, y normativa/legal totalmente presentada.</t>
  </si>
  <si>
    <t>Estudio técnico bien elaborado, con ficha técnica clara, capacidad de producción y localización bien descritas, proceso y recursos completos con ligeros vacíos; normativa casi completa.</t>
  </si>
  <si>
    <t>Estudio técnico aceptable, ficha técnica y cálculos generales, localización y proceso con detalles parciales, recursos y normativa mencionados superficialmente.</t>
  </si>
  <si>
    <t>Estudio técnico incompleto, ficha técnica básica, cálculos poco claros, localización y proceso poco desarrollados, recursos y normativa muy limitados.</t>
  </si>
  <si>
    <t>Presenta información muy mínima, sin cálculos claros ni detalles de proceso, localización, recursos o normativa.</t>
  </si>
  <si>
    <t>No presenta estudio técnico.</t>
  </si>
  <si>
    <t>Estudio Financiero</t>
  </si>
  <si>
    <t>Estudio financiero acertado y totalmente coherente con el ejercicio. Describe detalladamente la inversión requerida, en coherencia con el Fondo Progresa 2025; detalla capital y su distribución. Análisis completo de flujos de caja, ventas, rentabilidad y punto de equilibrio; coherente con simulador financiero.</t>
  </si>
  <si>
    <t>Estudio financiero bien estructurado, con inversión y distribución claras, análisis de flujos y rentabilidad casi completos, coherente con simulador salvo pequeños detalles.</t>
  </si>
  <si>
    <t>Estudio general, inversión descrita de forma básica, análisis de flujos, ventas o rentabilidad parcial, algunas inconsistencias con simulador.</t>
  </si>
  <si>
    <t>Estudio incompleto, inversión vaga, análisis de flujos o rentabilidad limitado, inconsistencias notables.</t>
  </si>
  <si>
    <t>Presenta información mínima, sin análisis sólido ni coherencia con simulador.</t>
  </si>
  <si>
    <t>No presenta estudio financiero.</t>
  </si>
  <si>
    <t>Plan de Implementación</t>
  </si>
  <si>
    <t>Plan de implementación muy bien detallado con cronograma claro y estructurado que incluye todas las etapas clave, responsables y fechas. Define al menos tres indicadores de éxito específicos, medibles y alineados con los objetivos del proyecto.</t>
  </si>
  <si>
    <t>Plan bien estructurado con cronograma claro, etapas y responsables casi completos; tres indicadores de éxito en su mayoría medibles y alineados.</t>
  </si>
  <si>
    <t>Plan general con cronograma básico, algunas etapas, responsables o fechas; define dos o tres indicadores medianamente medibles y alineados.</t>
  </si>
  <si>
    <t>Plan incompleto; cronograma confuso o con pocas etapas; uno o dos indicadores poco específicos o poco medibles.</t>
  </si>
  <si>
    <t>Presenta solo una idea de plan, sin cronograma detallado ni indicadores de éxito claros.</t>
  </si>
  <si>
    <t>No presenta plan de implementación.</t>
  </si>
  <si>
    <t>Impactos Ambientales/Sociales/Económicos</t>
  </si>
  <si>
    <t>Análisis exhaustivo con cifras concretas de los impactos ambientales, sociales y económicos. Demuestra comprensión profunda y propone soluciones claras para mitigar efectos negativos. Explica detalladamente el impacto del otorgamiento del beneficio para el emprendimiento.</t>
  </si>
  <si>
    <t>Análisis completo con cifras en su mayoría concretas; buena comprensión; propone soluciones viables; explica adecuadamente el impacto del beneficio.</t>
  </si>
  <si>
    <t>Análisis general con algunas cifras; comprensión aceptable; propone soluciones generales; menciona el impacto del beneficio de forma breve.</t>
  </si>
  <si>
    <t>Análisis limitado, pocas cifras; comprensión débil; soluciones vagas; impacto del beneficio superficial.</t>
  </si>
  <si>
    <t>Presenta información muy mínima, sin cifras ni soluciones; apenas menciona el impacto del beneficio.</t>
  </si>
  <si>
    <t>No presenta análisis de impactos.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</si>
</sst>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FF0000"/>
      <name val="Century Gothic"/>
      <family val="2"/>
    </font>
    <font>
      <b/>
      <sz val="9"/>
      <color rgb="FF000000"/>
      <name val="Century Gothic"/>
      <family val="2"/>
    </font>
    <font>
      <sz val="9"/>
      <color theme="1"/>
      <name val="Century Gothic"/>
      <family val="2"/>
    </font>
    <font>
      <sz val="9"/>
      <color rgb="FF000000"/>
      <name val="Century Gothic"/>
      <family val="2"/>
    </font>
    <font>
      <sz val="9"/>
      <color theme="1" tint="4.9989318521683403E-2"/>
      <name val="Century Gothic"/>
      <family val="2"/>
    </font>
    <font>
      <b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9" fontId="4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wrapText="1"/>
    </xf>
    <xf numFmtId="0" fontId="6" fillId="3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592667</xdr:colOff>
      <xdr:row>0</xdr:row>
      <xdr:rowOff>35718</xdr:rowOff>
    </xdr:from>
    <xdr:to>
      <xdr:col>9</xdr:col>
      <xdr:colOff>0</xdr:colOff>
      <xdr:row>0</xdr:row>
      <xdr:rowOff>788193</xdr:rowOff>
    </xdr:to>
    <xdr:pic>
      <xdr:nvPicPr>
        <xdr:cNvPr id="252" name="Imagen 1">
          <a:extLst>
            <a:ext uri="{FF2B5EF4-FFF2-40B4-BE49-F238E27FC236}">
              <a16:creationId xmlns:a16="http://schemas.microsoft.com/office/drawing/2014/main" id="{DF92294A-1A92-4399-8D30-21E6FFE379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25" t="45000" b="45125"/>
        <a:stretch/>
      </xdr:blipFill>
      <xdr:spPr bwMode="auto">
        <a:xfrm>
          <a:off x="592667" y="35718"/>
          <a:ext cx="17917583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1265503</xdr:colOff>
      <xdr:row>0</xdr:row>
      <xdr:rowOff>188649</xdr:rowOff>
    </xdr:from>
    <xdr:to>
      <xdr:col>8</xdr:col>
      <xdr:colOff>2422790</xdr:colOff>
      <xdr:row>0</xdr:row>
      <xdr:rowOff>617274</xdr:rowOff>
    </xdr:to>
    <xdr:sp macro="" textlink="">
      <xdr:nvSpPr>
        <xdr:cNvPr id="255" name="CuadroTexto 3">
          <a:extLst>
            <a:ext uri="{FF2B5EF4-FFF2-40B4-BE49-F238E27FC236}">
              <a16:creationId xmlns:a16="http://schemas.microsoft.com/office/drawing/2014/main" id="{E1A3A86E-1D75-4054-8822-5EFB54F6B383}"/>
            </a:ext>
            <a:ext uri="{147F2762-F138-4A5C-976F-8EAC2B608ADB}">
              <a16:predDERef xmlns:a16="http://schemas.microsoft.com/office/drawing/2014/main" pred="{DF92294A-1A92-4399-8D30-21E6FFE379AE}"/>
            </a:ext>
          </a:extLst>
        </xdr:cNvPr>
        <xdr:cNvSpPr txBox="1"/>
      </xdr:nvSpPr>
      <xdr:spPr>
        <a:xfrm>
          <a:off x="11933503" y="188649"/>
          <a:ext cx="6385454" cy="4286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000" b="1">
              <a:solidFill>
                <a:schemeClr val="bg1"/>
              </a:solidFill>
              <a:latin typeface="Century Gothic" panose="020B0502020202020204" pitchFamily="34" charset="0"/>
            </a:rPr>
            <a:t>RÚBRICA</a:t>
          </a:r>
          <a:r>
            <a:rPr lang="es-CO" sz="2000" b="1" baseline="0">
              <a:solidFill>
                <a:schemeClr val="bg1"/>
              </a:solidFill>
              <a:latin typeface="Century Gothic" panose="020B0502020202020204" pitchFamily="34" charset="0"/>
            </a:rPr>
            <a:t> DE EVALUACIÓN PLANES DE NEGOCIO</a:t>
          </a:r>
          <a:endParaRPr lang="es-CO" sz="20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7BF4-589F-4C21-9CE0-FC3404E7062D}">
  <sheetPr>
    <tabColor rgb="FFFF0000"/>
  </sheetPr>
  <dimension ref="A1:V36"/>
  <sheetViews>
    <sheetView topLeftCell="A7" workbookViewId="0">
      <selection activeCell="M7" sqref="M1:O1048576"/>
    </sheetView>
  </sheetViews>
  <sheetFormatPr defaultColWidth="11.42578125" defaultRowHeight="14.45"/>
  <cols>
    <col min="1" max="1" width="37" bestFit="1" customWidth="1"/>
    <col min="14" max="14" width="4" bestFit="1" customWidth="1"/>
    <col min="15" max="15" width="49.42578125" bestFit="1" customWidth="1"/>
    <col min="19" max="19" width="20.42578125" bestFit="1" customWidth="1"/>
    <col min="20" max="20" width="29.28515625" bestFit="1" customWidth="1"/>
  </cols>
  <sheetData>
    <row r="1" spans="1:22">
      <c r="A1" t="s">
        <v>0</v>
      </c>
      <c r="B1" t="s">
        <v>1</v>
      </c>
    </row>
    <row r="2" spans="1:22">
      <c r="A2" t="s">
        <v>2</v>
      </c>
      <c r="B2" t="s">
        <v>3</v>
      </c>
      <c r="F2">
        <v>228</v>
      </c>
    </row>
    <row r="3" spans="1:22">
      <c r="A3" t="s">
        <v>4</v>
      </c>
      <c r="B3" t="s">
        <v>5</v>
      </c>
      <c r="G3">
        <v>5</v>
      </c>
      <c r="H3">
        <v>5</v>
      </c>
      <c r="I3">
        <v>5</v>
      </c>
      <c r="J3">
        <v>5</v>
      </c>
    </row>
    <row r="4" spans="1:22">
      <c r="G4">
        <v>15</v>
      </c>
      <c r="H4">
        <v>15</v>
      </c>
      <c r="I4">
        <v>15</v>
      </c>
      <c r="J4">
        <v>15</v>
      </c>
    </row>
    <row r="5" spans="1:22">
      <c r="A5" s="5" t="s">
        <v>6</v>
      </c>
      <c r="S5" t="s">
        <v>7</v>
      </c>
      <c r="T5" t="s">
        <v>8</v>
      </c>
    </row>
    <row r="6" spans="1:22">
      <c r="A6" t="s">
        <v>9</v>
      </c>
      <c r="S6" s="2">
        <f>94/4</f>
        <v>23.5</v>
      </c>
      <c r="T6" s="2">
        <f>S6*3</f>
        <v>70.5</v>
      </c>
      <c r="U6">
        <f>T6*12</f>
        <v>846</v>
      </c>
    </row>
    <row r="7" spans="1:22">
      <c r="A7" t="s">
        <v>10</v>
      </c>
      <c r="O7" s="5" t="s">
        <v>11</v>
      </c>
      <c r="U7" s="2">
        <f>U6/60</f>
        <v>14.1</v>
      </c>
      <c r="V7" t="s">
        <v>12</v>
      </c>
    </row>
    <row r="8" spans="1:22">
      <c r="A8" t="s">
        <v>13</v>
      </c>
      <c r="N8">
        <v>200</v>
      </c>
      <c r="O8" t="s">
        <v>14</v>
      </c>
      <c r="S8">
        <f>14*4</f>
        <v>56</v>
      </c>
      <c r="T8" t="s">
        <v>15</v>
      </c>
    </row>
    <row r="9" spans="1:22">
      <c r="A9" t="s">
        <v>16</v>
      </c>
      <c r="N9">
        <v>56</v>
      </c>
      <c r="O9" t="s">
        <v>17</v>
      </c>
    </row>
    <row r="10" spans="1:22">
      <c r="A10" t="s">
        <v>18</v>
      </c>
      <c r="N10">
        <f>B30*4</f>
        <v>47.333333333333336</v>
      </c>
      <c r="O10" t="s">
        <v>19</v>
      </c>
    </row>
    <row r="11" spans="1:22">
      <c r="A11">
        <f>(20+8+45+56+99)</f>
        <v>228</v>
      </c>
      <c r="B11" t="s">
        <v>20</v>
      </c>
      <c r="N11">
        <v>60</v>
      </c>
      <c r="O11" t="s">
        <v>21</v>
      </c>
    </row>
    <row r="12" spans="1:22">
      <c r="N12">
        <f>N8-(N11+N10+N9)</f>
        <v>36.666666666666657</v>
      </c>
      <c r="O12" t="s">
        <v>22</v>
      </c>
    </row>
    <row r="13" spans="1:22">
      <c r="N13" s="2">
        <f>N12/4</f>
        <v>9.1666666666666643</v>
      </c>
      <c r="O13" t="s">
        <v>23</v>
      </c>
      <c r="Q13" s="1"/>
    </row>
    <row r="14" spans="1:22">
      <c r="A14" s="5" t="s">
        <v>24</v>
      </c>
      <c r="N14">
        <f>N12/94</f>
        <v>0.3900709219858155</v>
      </c>
    </row>
    <row r="15" spans="1:22">
      <c r="A15" t="s">
        <v>25</v>
      </c>
      <c r="B15">
        <v>5</v>
      </c>
    </row>
    <row r="16" spans="1:22">
      <c r="A16" t="s">
        <v>26</v>
      </c>
      <c r="B16">
        <v>2</v>
      </c>
    </row>
    <row r="17" spans="1:4">
      <c r="A17" t="s">
        <v>27</v>
      </c>
      <c r="B17">
        <v>15</v>
      </c>
      <c r="C17" t="s">
        <v>28</v>
      </c>
    </row>
    <row r="18" spans="1:4">
      <c r="A18" t="s">
        <v>29</v>
      </c>
      <c r="B18">
        <v>9</v>
      </c>
      <c r="C18" t="s">
        <v>30</v>
      </c>
    </row>
    <row r="19" spans="1:4">
      <c r="A19" t="s">
        <v>31</v>
      </c>
      <c r="B19">
        <v>12</v>
      </c>
      <c r="C19" t="s">
        <v>32</v>
      </c>
    </row>
    <row r="20" spans="1:4">
      <c r="A20" t="s">
        <v>33</v>
      </c>
      <c r="B20">
        <v>14</v>
      </c>
      <c r="C20" t="s">
        <v>34</v>
      </c>
    </row>
    <row r="21" spans="1:4">
      <c r="B21">
        <f>SUM(B15:B20)</f>
        <v>57</v>
      </c>
    </row>
    <row r="22" spans="1:4">
      <c r="B22">
        <f>B21*4</f>
        <v>228</v>
      </c>
    </row>
    <row r="26" spans="1:4">
      <c r="A26" s="5" t="s">
        <v>35</v>
      </c>
    </row>
    <row r="27" spans="1:4">
      <c r="A27" t="s">
        <v>36</v>
      </c>
      <c r="B27">
        <f>3*71</f>
        <v>213</v>
      </c>
      <c r="C27" t="s">
        <v>37</v>
      </c>
    </row>
    <row r="28" spans="1:4">
      <c r="A28" t="s">
        <v>38</v>
      </c>
      <c r="B28">
        <f>7*71</f>
        <v>497</v>
      </c>
      <c r="C28" t="s">
        <v>37</v>
      </c>
    </row>
    <row r="29" spans="1:4">
      <c r="B29">
        <f>B28+B27</f>
        <v>710</v>
      </c>
      <c r="C29" t="s">
        <v>37</v>
      </c>
    </row>
    <row r="30" spans="1:4">
      <c r="A30" t="s">
        <v>39</v>
      </c>
      <c r="B30" s="3">
        <f>B29/60</f>
        <v>11.833333333333334</v>
      </c>
      <c r="C30" s="4" t="s">
        <v>40</v>
      </c>
      <c r="D30" t="s">
        <v>41</v>
      </c>
    </row>
    <row r="32" spans="1:4">
      <c r="B32" s="2">
        <f>B30+B20</f>
        <v>25.833333333333336</v>
      </c>
    </row>
    <row r="33" spans="2:2">
      <c r="B33" s="2">
        <f>B32*4</f>
        <v>103.33333333333334</v>
      </c>
    </row>
    <row r="34" spans="2:2">
      <c r="B34" s="1">
        <f>B33/94</f>
        <v>1.0992907801418441</v>
      </c>
    </row>
    <row r="36" spans="2:2">
      <c r="B36" s="1">
        <f>B34+N14</f>
        <v>1.4893617021276597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A6C9-9623-4404-A588-B6CE0B353060}">
  <sheetPr>
    <pageSetUpPr fitToPage="1"/>
  </sheetPr>
  <dimension ref="B1:I15"/>
  <sheetViews>
    <sheetView tabSelected="1" zoomScale="60" zoomScaleNormal="60" workbookViewId="0">
      <selection activeCell="E5" sqref="E5"/>
    </sheetView>
  </sheetViews>
  <sheetFormatPr defaultColWidth="8.7109375" defaultRowHeight="15" customHeight="1"/>
  <cols>
    <col min="1" max="1" width="8.7109375" style="8"/>
    <col min="2" max="2" width="17.42578125" style="6" customWidth="1"/>
    <col min="3" max="3" width="14.140625" style="6" bestFit="1" customWidth="1"/>
    <col min="4" max="9" width="37.42578125" style="7" customWidth="1"/>
    <col min="10" max="16384" width="8.7109375" style="8"/>
  </cols>
  <sheetData>
    <row r="1" spans="2:9" ht="67.5" customHeight="1"/>
    <row r="2" spans="2:9" ht="15" customHeight="1">
      <c r="B2" s="20" t="s">
        <v>42</v>
      </c>
      <c r="C2" s="20" t="s">
        <v>43</v>
      </c>
      <c r="D2" s="17" t="s">
        <v>44</v>
      </c>
      <c r="E2" s="17" t="s">
        <v>45</v>
      </c>
      <c r="F2" s="17" t="s">
        <v>46</v>
      </c>
      <c r="G2" s="17" t="s">
        <v>47</v>
      </c>
      <c r="H2" s="17" t="s">
        <v>48</v>
      </c>
      <c r="I2" s="17" t="s">
        <v>49</v>
      </c>
    </row>
    <row r="3" spans="2:9" ht="14.45">
      <c r="B3" s="20"/>
      <c r="C3" s="20"/>
      <c r="D3" s="19">
        <v>5</v>
      </c>
      <c r="E3" s="19" t="s">
        <v>50</v>
      </c>
      <c r="F3" s="19" t="s">
        <v>51</v>
      </c>
      <c r="G3" s="19" t="s">
        <v>52</v>
      </c>
      <c r="H3" s="19" t="s">
        <v>53</v>
      </c>
      <c r="I3" s="19">
        <v>0</v>
      </c>
    </row>
    <row r="4" spans="2:9" ht="120">
      <c r="B4" s="17" t="s">
        <v>54</v>
      </c>
      <c r="C4" s="18">
        <v>0.1</v>
      </c>
      <c r="D4" s="9" t="s">
        <v>55</v>
      </c>
      <c r="E4" s="9" t="s">
        <v>56</v>
      </c>
      <c r="F4" s="9" t="s">
        <v>57</v>
      </c>
      <c r="G4" s="9" t="s">
        <v>58</v>
      </c>
      <c r="H4" s="10" t="s">
        <v>59</v>
      </c>
      <c r="I4" s="10" t="s">
        <v>60</v>
      </c>
    </row>
    <row r="5" spans="2:9" ht="195" customHeight="1">
      <c r="B5" s="17" t="s">
        <v>61</v>
      </c>
      <c r="C5" s="18">
        <v>0.25</v>
      </c>
      <c r="D5" s="9" t="s">
        <v>62</v>
      </c>
      <c r="E5" s="9" t="s">
        <v>63</v>
      </c>
      <c r="F5" s="9" t="s">
        <v>64</v>
      </c>
      <c r="G5" s="9" t="s">
        <v>65</v>
      </c>
      <c r="H5" s="9" t="s">
        <v>66</v>
      </c>
      <c r="I5" s="9" t="s">
        <v>67</v>
      </c>
    </row>
    <row r="6" spans="2:9" ht="92.1">
      <c r="B6" s="17" t="s">
        <v>68</v>
      </c>
      <c r="C6" s="18">
        <v>0.2</v>
      </c>
      <c r="D6" s="9" t="s">
        <v>69</v>
      </c>
      <c r="E6" s="9" t="s">
        <v>70</v>
      </c>
      <c r="F6" s="9" t="s">
        <v>71</v>
      </c>
      <c r="G6" s="9" t="s">
        <v>72</v>
      </c>
      <c r="H6" s="9" t="s">
        <v>73</v>
      </c>
      <c r="I6" s="9" t="s">
        <v>74</v>
      </c>
    </row>
    <row r="7" spans="2:9" ht="178.5" customHeight="1">
      <c r="B7" s="17" t="s">
        <v>75</v>
      </c>
      <c r="C7" s="18">
        <v>0.25</v>
      </c>
      <c r="D7" s="9" t="s">
        <v>76</v>
      </c>
      <c r="E7" s="9" t="s">
        <v>77</v>
      </c>
      <c r="F7" s="9" t="s">
        <v>78</v>
      </c>
      <c r="G7" s="9" t="s">
        <v>79</v>
      </c>
      <c r="H7" s="9" t="s">
        <v>80</v>
      </c>
      <c r="I7" s="10" t="s">
        <v>81</v>
      </c>
    </row>
    <row r="8" spans="2:9" ht="206.25" customHeight="1">
      <c r="B8" s="17" t="s">
        <v>82</v>
      </c>
      <c r="C8" s="18">
        <v>0.1</v>
      </c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0" t="s">
        <v>88</v>
      </c>
    </row>
    <row r="9" spans="2:9" ht="184.5" customHeight="1">
      <c r="B9" s="17" t="s">
        <v>89</v>
      </c>
      <c r="C9" s="18">
        <v>0.1</v>
      </c>
      <c r="D9" s="9" t="s">
        <v>90</v>
      </c>
      <c r="E9" s="9" t="s">
        <v>91</v>
      </c>
      <c r="F9" s="9" t="s">
        <v>92</v>
      </c>
      <c r="G9" s="9" t="s">
        <v>93</v>
      </c>
      <c r="H9" s="9" t="s">
        <v>94</v>
      </c>
      <c r="I9" s="9" t="s">
        <v>95</v>
      </c>
    </row>
    <row r="10" spans="2:9" ht="14.45">
      <c r="B10" s="12"/>
      <c r="C10" s="13">
        <f>SUM(C4:C9)</f>
        <v>1</v>
      </c>
      <c r="D10" s="14"/>
      <c r="E10" s="14"/>
      <c r="F10" s="14"/>
      <c r="G10" s="14"/>
      <c r="H10" s="15"/>
    </row>
    <row r="11" spans="2:9" ht="14.45">
      <c r="B11" s="12"/>
      <c r="C11" s="13"/>
      <c r="D11" s="14"/>
      <c r="E11" s="14"/>
      <c r="F11" s="14"/>
      <c r="G11" s="14"/>
      <c r="H11" s="15"/>
    </row>
    <row r="12" spans="2:9" ht="14.45">
      <c r="B12" s="12"/>
      <c r="C12" s="13"/>
      <c r="D12" s="14"/>
      <c r="E12" s="14"/>
      <c r="F12" s="14"/>
      <c r="G12" s="14"/>
      <c r="H12" s="15"/>
    </row>
    <row r="13" spans="2:9" ht="14.45">
      <c r="B13" s="12"/>
      <c r="C13" s="13"/>
      <c r="D13" s="14"/>
      <c r="E13" s="14"/>
      <c r="F13" s="14"/>
      <c r="G13" s="14"/>
      <c r="H13" s="15"/>
    </row>
    <row r="14" spans="2:9" ht="14.45">
      <c r="D14" s="16"/>
      <c r="E14" s="16"/>
      <c r="F14" s="16"/>
      <c r="G14" s="16"/>
      <c r="H14" s="16"/>
    </row>
    <row r="15" spans="2:9" ht="14.45"/>
  </sheetData>
  <mergeCells count="2">
    <mergeCell ref="B2:B3"/>
    <mergeCell ref="C2:C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e156f3-548b-4c17-9b8b-753fa3759d94">
      <Terms xmlns="http://schemas.microsoft.com/office/infopath/2007/PartnerControls"/>
    </lcf76f155ced4ddcb4097134ff3c332f>
    <TaxCatchAll xmlns="16dcb015-995c-4aad-bfc0-8314a765a1e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D3E5818E01C94E966E8E0D8D97103F" ma:contentTypeVersion="18" ma:contentTypeDescription="Crear nuevo documento." ma:contentTypeScope="" ma:versionID="bbab8c6c60b9f204b5a44b9654269d3d">
  <xsd:schema xmlns:xsd="http://www.w3.org/2001/XMLSchema" xmlns:xs="http://www.w3.org/2001/XMLSchema" xmlns:p="http://schemas.microsoft.com/office/2006/metadata/properties" xmlns:ns2="d4e156f3-548b-4c17-9b8b-753fa3759d94" xmlns:ns3="16dcb015-995c-4aad-bfc0-8314a765a1e4" targetNamespace="http://schemas.microsoft.com/office/2006/metadata/properties" ma:root="true" ma:fieldsID="7d7db70899496dbb2a64d7f8f23f11f7" ns2:_="" ns3:_="">
    <xsd:import namespace="d4e156f3-548b-4c17-9b8b-753fa3759d94"/>
    <xsd:import namespace="16dcb015-995c-4aad-bfc0-8314a765a1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156f3-548b-4c17-9b8b-753fa3759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cb015-995c-4aad-bfc0-8314a765a1e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ec57715-a070-4abf-882c-b3bf6079e231}" ma:internalName="TaxCatchAll" ma:showField="CatchAllData" ma:web="16dcb015-995c-4aad-bfc0-8314a765a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4CD7A6-60DE-4C96-808C-863E478E50C6}"/>
</file>

<file path=customXml/itemProps2.xml><?xml version="1.0" encoding="utf-8"?>
<ds:datastoreItem xmlns:ds="http://schemas.openxmlformats.org/officeDocument/2006/customXml" ds:itemID="{839910C9-D507-48E3-8FDE-D3A7AF4A431A}"/>
</file>

<file path=customXml/itemProps3.xml><?xml version="1.0" encoding="utf-8"?>
<ds:datastoreItem xmlns:ds="http://schemas.openxmlformats.org/officeDocument/2006/customXml" ds:itemID="{2F79449B-EA7A-4F4D-8E4D-D8F8AE485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ALEXANDRA VELOSA QUINTERO</dc:creator>
  <cp:keywords/>
  <dc:description/>
  <cp:lastModifiedBy/>
  <cp:revision/>
  <dcterms:created xsi:type="dcterms:W3CDTF">2024-07-29T16:27:04Z</dcterms:created>
  <dcterms:modified xsi:type="dcterms:W3CDTF">2026-08-27T20:02:17Z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0x0101006BD3E5818E01C94E966E8E0D8D97103F</vt:lpwstr>
  </property>
</Properties>
</file>